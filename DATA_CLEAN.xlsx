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t_Politique_Monetaire\"/>
    </mc:Choice>
  </mc:AlternateContent>
  <xr:revisionPtr revIDLastSave="0" documentId="13_ncr:1_{E005670A-FB13-4284-89DC-F77FD387AE36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Feuil1" sheetId="2" r:id="rId1"/>
  </sheets>
  <calcPr calcId="191029"/>
</workbook>
</file>

<file path=xl/calcChain.xml><?xml version="1.0" encoding="utf-8"?>
<calcChain xmlns="http://schemas.openxmlformats.org/spreadsheetml/2006/main">
  <c r="F7" i="2" l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6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3" i="2"/>
</calcChain>
</file>

<file path=xl/sharedStrings.xml><?xml version="1.0" encoding="utf-8"?>
<sst xmlns="http://schemas.openxmlformats.org/spreadsheetml/2006/main" count="156" uniqueCount="156">
  <si>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</si>
  <si>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</si>
  <si>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</si>
  <si>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</si>
  <si>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</si>
  <si>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</si>
  <si>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</si>
  <si>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</si>
  <si>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</si>
  <si>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</si>
  <si>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</si>
  <si>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</si>
  <si>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</si>
  <si>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</si>
  <si>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</si>
  <si>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</si>
  <si>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</si>
  <si>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</si>
  <si>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</si>
  <si>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</si>
  <si>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</si>
  <si>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</si>
  <si>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</si>
  <si>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</si>
  <si>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2010T2</t>
  </si>
  <si>
    <t>2019T1</t>
  </si>
  <si>
    <t>2019T2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</si>
  <si>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</si>
  <si>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</si>
  <si>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</si>
  <si>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</si>
  <si>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</si>
  <si>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</si>
  <si>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</si>
  <si>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</si>
  <si>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</si>
  <si>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</si>
  <si>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</si>
  <si>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</si>
  <si>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</si>
  <si>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</si>
  <si>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</si>
  <si>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</si>
  <si>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</si>
  <si>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</si>
  <si>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</si>
  <si>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</si>
  <si>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</si>
  <si>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</si>
  <si>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</si>
  <si>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</si>
  <si>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</si>
  <si>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</si>
  <si>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2012T1</t>
  </si>
  <si>
    <t>2011T4</t>
  </si>
  <si>
    <t>2011T3</t>
  </si>
  <si>
    <t>2011T2</t>
  </si>
  <si>
    <t>2011T1</t>
  </si>
  <si>
    <t>2010T4</t>
  </si>
  <si>
    <t>2010T3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</si>
  <si>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</si>
  <si>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</si>
  <si>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</si>
  <si>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</si>
  <si>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</si>
  <si>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</si>
  <si>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</si>
  <si>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</si>
  <si>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</si>
  <si>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2007T4</t>
  </si>
  <si>
    <t>2007T3</t>
  </si>
  <si>
    <t>2007T2</t>
  </si>
  <si>
    <t>2007T1</t>
  </si>
  <si>
    <t>2006T4</t>
  </si>
  <si>
    <t>0.50533408197646</t>
  </si>
  <si>
    <t>2.09810036858511</t>
  </si>
  <si>
    <t>0.704027034638136</t>
  </si>
  <si>
    <t>1.27226463104328</t>
  </si>
  <si>
    <t>0.792303338992579</t>
  </si>
  <si>
    <t>1.17613310384402</t>
  </si>
  <si>
    <t>3.7697253068381</t>
  </si>
  <si>
    <t>4.92435479086319</t>
  </si>
  <si>
    <t>6.7996373526745</t>
  </si>
  <si>
    <t>9.07384230287864</t>
  </si>
  <si>
    <t>8.25688073394494</t>
  </si>
  <si>
    <t>8.01025312399879</t>
  </si>
  <si>
    <t>6.29617732091232</t>
  </si>
  <si>
    <t>4.002603319232</t>
  </si>
  <si>
    <t>2.53000324359393</t>
  </si>
  <si>
    <t>1.36407924650863</t>
  </si>
  <si>
    <t>1.5660685154975</t>
  </si>
  <si>
    <t>0.142720092235668</t>
  </si>
  <si>
    <t>0.496269106306766</t>
  </si>
  <si>
    <t>0.921771150650745</t>
  </si>
  <si>
    <t>0.102506725993367</t>
  </si>
  <si>
    <t>1.31101813110178</t>
  </si>
  <si>
    <t>0.749167591564947</t>
  </si>
  <si>
    <t>0.445062586926368</t>
  </si>
  <si>
    <t>0.248962655601756</t>
  </si>
  <si>
    <t>-0.23071592674139</t>
  </si>
  <si>
    <t>0.839395635142749</t>
  </si>
  <si>
    <t>1.63980774667787</t>
  </si>
  <si>
    <t>2.6114107294919</t>
  </si>
  <si>
    <t>2.14014476975564</t>
  </si>
  <si>
    <t>1.24645892351268</t>
  </si>
  <si>
    <t>0.198300283286103</t>
  </si>
  <si>
    <t>0.313211845102441</t>
  </si>
  <si>
    <t>1.26655152561891</t>
  </si>
  <si>
    <t>1.78777393310269</t>
  </si>
  <si>
    <t>1.84650894402775</t>
  </si>
  <si>
    <t>1.91526407428902</t>
  </si>
  <si>
    <t>0.98837209302326</t>
  </si>
  <si>
    <t>0.960698689956324</t>
  </si>
  <si>
    <t>1.88124632569073</t>
  </si>
  <si>
    <t>1.89237137788297</t>
  </si>
  <si>
    <t>1.50486869282975</t>
  </si>
  <si>
    <t>1.13912987253583</t>
  </si>
  <si>
    <t>0.139609686885391</t>
  </si>
  <si>
    <t>0.0524876178390461</t>
  </si>
  <si>
    <t>0.436211447712869</t>
  </si>
  <si>
    <t>0.97593984336491</t>
  </si>
  <si>
    <t>1.7538800951975</t>
  </si>
  <si>
    <t>2.4621339799939</t>
  </si>
  <si>
    <t>2.35018806115015</t>
  </si>
  <si>
    <t>2.01656050955417</t>
  </si>
  <si>
    <t>1.26479526842586</t>
  </si>
  <si>
    <t>1.38291333743089</t>
  </si>
  <si>
    <t>0.481560499847635</t>
  </si>
  <si>
    <t>0.33475349969561</t>
  </si>
  <si>
    <t>1.6024653312789</t>
  </si>
  <si>
    <t>0.123076923076901</t>
  </si>
  <si>
    <t>1.57894736842105</t>
  </si>
  <si>
    <t>2.17661691542295</t>
  </si>
  <si>
    <t>0.4643962848297</t>
  </si>
  <si>
    <t>1.21457489878543</t>
  </si>
  <si>
    <t>0.12399256044635</t>
  </si>
  <si>
    <t>-0.495049504950475</t>
  </si>
  <si>
    <t>0.591715976331367</t>
  </si>
  <si>
    <t>0.689871433051125</t>
  </si>
  <si>
    <t>3.16597377678288</t>
  </si>
  <si>
    <t>3.6894449791466</t>
  </si>
  <si>
    <t>4.08427876823336</t>
  </si>
  <si>
    <t>4.31795878312068</t>
  </si>
  <si>
    <t>2.76043378245154</t>
  </si>
  <si>
    <t>1.89178233804779</t>
  </si>
  <si>
    <t>2.48597126604401</t>
  </si>
  <si>
    <t>1.55579065163582</t>
  </si>
  <si>
    <t>2.64231591218164</t>
  </si>
  <si>
    <t>3.64949258391865</t>
  </si>
  <si>
    <t>Quarterly_Morocco_Prices Consumer Price Index</t>
  </si>
  <si>
    <t>2012T2</t>
  </si>
  <si>
    <t>Taux directeur</t>
  </si>
  <si>
    <t>PIB_chainé</t>
  </si>
  <si>
    <t>Date</t>
  </si>
  <si>
    <t>croissance_pib</t>
  </si>
  <si>
    <t>glissement_annuel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</si>
</sst>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0"/>
      <color rgb="FF000000"/>
      <name val="Times New Roman"/>
      <charset val="204"/>
    </font>
    <font>
      <sz val="10.5"/>
      <color rgb="FF000000"/>
      <name val="Trebuchet MS"/>
      <family val="2"/>
    </font>
    <font>
      <b/>
      <sz val="10.5"/>
      <name val="Arial"/>
      <family val="2"/>
    </font>
    <font>
      <b/>
      <sz val="8"/>
      <name val="Arial"/>
      <family val="2"/>
    </font>
    <font>
      <sz val="10"/>
      <color rgb="FF000000"/>
      <name val="Times New Roman"/>
      <family val="1"/>
    </font>
    <font>
      <sz val="9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BFBCB8"/>
      </right>
      <top style="thin">
        <color rgb="FFCCCCCC"/>
      </top>
      <bottom style="thin">
        <color rgb="FFBFBCB8"/>
      </bottom>
      <diagonal/>
    </border>
    <border>
      <left style="thin">
        <color rgb="FFBFBCB8"/>
      </left>
      <right style="thin">
        <color rgb="FFBFBCB8"/>
      </right>
      <top style="thin">
        <color rgb="FFCCCCCC"/>
      </top>
      <bottom style="thin">
        <color rgb="FFBFBCB8"/>
      </bottom>
      <diagonal/>
    </border>
    <border>
      <left style="thin">
        <color rgb="FFEDEDEB"/>
      </left>
      <right style="thin">
        <color rgb="FFEDEDEB"/>
      </right>
      <top style="thin">
        <color rgb="FFEDEDEB"/>
      </top>
      <bottom style="thin">
        <color rgb="FFEDEDEB"/>
      </bottom>
      <diagonal/>
    </border>
    <border>
      <left style="thin">
        <color rgb="FFEDEDEB"/>
      </left>
      <right style="thin">
        <color rgb="FFEDEDEB"/>
      </right>
      <top/>
      <bottom style="thin">
        <color rgb="FFEDEDEB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164" fontId="1" fillId="0" borderId="3" xfId="0" applyNumberFormat="1" applyFont="1" applyBorder="1" applyAlignment="1">
      <alignment horizontal="center" vertical="top" shrinkToFit="1"/>
    </xf>
    <xf numFmtId="164" fontId="1" fillId="0" borderId="4" xfId="0" applyNumberFormat="1" applyFont="1" applyBorder="1" applyAlignment="1">
      <alignment horizontal="center" vertical="top" shrinkToFit="1"/>
    </xf>
    <xf numFmtId="0" fontId="0" fillId="0" borderId="0" xfId="0"/>
    <xf numFmtId="0" fontId="3" fillId="0" borderId="2" xfId="0" applyFont="1" applyBorder="1" applyAlignment="1">
      <alignment horizontal="center" vertical="top" wrapText="1"/>
    </xf>
    <xf numFmtId="0" fontId="4" fillId="0" borderId="0" xfId="0" applyFont="1"/>
    <xf numFmtId="0" fontId="2" fillId="0" borderId="2" xfId="0" applyFont="1" applyBorder="1" applyAlignment="1">
      <alignment horizontal="center" vertical="top" wrapText="1"/>
    </xf>
    <xf numFmtId="1" fontId="5" fillId="0" borderId="5" xfId="0" applyNumberFormat="1" applyFont="1" applyBorder="1"/>
    <xf numFmtId="1" fontId="6" fillId="2" borderId="6" xfId="0" applyNumberFormat="1" applyFont="1" applyFill="1" applyBorder="1"/>
    <xf numFmtId="1" fontId="6" fillId="2" borderId="7" xfId="0" applyNumberFormat="1" applyFont="1" applyFill="1" applyBorder="1"/>
    <xf numFmtId="1" fontId="6" fillId="2" borderId="8" xfId="0" applyNumberFormat="1" applyFont="1" applyFill="1" applyBorder="1"/>
    <xf numFmtId="1" fontId="5" fillId="0" borderId="8" xfId="0" applyNumberFormat="1" applyFont="1" applyBorder="1"/>
    <xf numFmtId="1" fontId="5" fillId="0" borderId="6" xfId="0" applyNumberFormat="1" applyFont="1" applyBorder="1"/>
    <xf numFmtId="1" fontId="5" fillId="0" borderId="9" xfId="0" applyNumberFormat="1" applyFont="1" applyBorder="1"/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AFF3-D2C2-4801-A679-A13F9BAD9577}">
  <dimension ref="A1:F76"/>
  <sheetViews>
    <sheetView tabSelected="1" topLeftCell="C1" zoomScale="76" zoomScaleNormal="76" workbookViewId="0">
      <selection activeCell="E79" sqref="E79"/>
    </sheetView>
  </sheetViews>
  <sheetFormatPr baseColWidth="10" defaultRowHeight="13" x14ac:dyDescent="0.3"/>
  <cols>
    <col min="1" max="1" width="27.59765625" customWidth="1"/>
    <col min="2" max="2" width="22.8984375" customWidth="1"/>
    <col min="3" max="3" width="25.3984375" customWidth="1"/>
    <col min="4" max="4" width="29.09765625" customWidth="1"/>
    <col min="5" max="5" width="23.09765625" customWidth="1"/>
    <col min="6" max="6" width="19.5" customWidth="1"/>
  </cols>
  <sheetData>
    <row r="1" spans="1:6" ht="12.5" customHeight="1" x14ac:dyDescent="0.3">
      <c r="A1" s="14" t="s">
        <v>153</v>
      </c>
      <c r="B1" s="6" t="s">
        <v>151</v>
      </c>
      <c r="C1" s="4" t="s">
        <v>149</v>
      </c>
      <c r="D1" s="4" t="s">
        <v>152</v>
      </c>
      <c r="E1" s="4" t="s">
        <v>154</v>
      </c>
      <c r="F1" s="4" t="s">
        <v>155</v>
      </c>
    </row>
    <row r="2" spans="1:6" ht="14" x14ac:dyDescent="0.3">
      <c r="A2" s="1" t="s">
        <v>73</v>
      </c>
      <c r="B2">
        <v>3.25</v>
      </c>
      <c r="C2" s="3" t="s">
        <v>148</v>
      </c>
      <c r="D2" s="7">
        <v>186999.33899938501</v>
      </c>
      <c r="E2">
        <v>1.805130984</v>
      </c>
      <c r="F2">
        <v>7.1258498299999999</v>
      </c>
    </row>
    <row r="3" spans="1:6" ht="14" x14ac:dyDescent="0.3">
      <c r="A3" s="1" t="s">
        <v>72</v>
      </c>
      <c r="B3">
        <v>3.25</v>
      </c>
      <c r="C3" s="3" t="s">
        <v>147</v>
      </c>
      <c r="D3" s="8">
        <v>184913.99591725101</v>
      </c>
      <c r="E3">
        <f>(D3-D2)/D2*100</f>
        <v>-1.1151606702421868</v>
      </c>
      <c r="F3">
        <v>8.3125296500000001</v>
      </c>
    </row>
    <row r="4" spans="1:6" ht="14" x14ac:dyDescent="0.3">
      <c r="A4" s="1" t="s">
        <v>71</v>
      </c>
      <c r="B4">
        <v>3.25</v>
      </c>
      <c r="C4" s="3" t="s">
        <v>146</v>
      </c>
      <c r="D4" s="9">
        <v>189133.24119925906</v>
      </c>
      <c r="E4">
        <f t="shared" ref="E4:E67" si="0">(D4-D3)/D3*100</f>
        <v>2.2817338736739878</v>
      </c>
      <c r="F4">
        <v>6.3201032699999997</v>
      </c>
    </row>
    <row r="5" spans="1:6" ht="14" x14ac:dyDescent="0.3">
      <c r="A5" s="1" t="s">
        <v>70</v>
      </c>
      <c r="B5">
        <v>3.25</v>
      </c>
      <c r="C5" s="3" t="s">
        <v>145</v>
      </c>
      <c r="D5" s="9">
        <v>192533.29350620401</v>
      </c>
      <c r="E5">
        <f t="shared" si="0"/>
        <v>1.7977021307232062</v>
      </c>
      <c r="F5">
        <v>8.0888656599999997</v>
      </c>
    </row>
    <row r="6" spans="1:6" ht="14" x14ac:dyDescent="0.3">
      <c r="A6" s="1" t="s">
        <v>69</v>
      </c>
      <c r="B6">
        <v>3.25</v>
      </c>
      <c r="C6" s="3" t="s">
        <v>144</v>
      </c>
      <c r="D6" s="8">
        <v>194459.84368253901</v>
      </c>
      <c r="E6">
        <f t="shared" si="0"/>
        <v>1.000632223783636</v>
      </c>
      <c r="F6">
        <f>((D6 - D2) / D2) * 100</f>
        <v>3.9895887991232581</v>
      </c>
    </row>
    <row r="7" spans="1:6" ht="14" x14ac:dyDescent="0.3">
      <c r="A7" s="1" t="s">
        <v>68</v>
      </c>
      <c r="B7">
        <v>3.25</v>
      </c>
      <c r="C7" s="3" t="s">
        <v>143</v>
      </c>
      <c r="D7" s="10">
        <v>199481.54463550638</v>
      </c>
      <c r="E7">
        <f t="shared" si="0"/>
        <v>2.5823845467887088</v>
      </c>
      <c r="F7">
        <f t="shared" ref="F7:F70" si="1">((D7 - D3) / D3) * 100</f>
        <v>7.8780130438446312</v>
      </c>
    </row>
    <row r="8" spans="1:6" ht="14" x14ac:dyDescent="0.3">
      <c r="A8" s="1" t="s">
        <v>67</v>
      </c>
      <c r="B8">
        <v>3.5000000000000004</v>
      </c>
      <c r="C8" s="3" t="s">
        <v>142</v>
      </c>
      <c r="D8" s="9">
        <v>201101.01622426359</v>
      </c>
      <c r="E8">
        <f t="shared" si="0"/>
        <v>0.81184030919567785</v>
      </c>
      <c r="F8">
        <f t="shared" si="1"/>
        <v>6.3276952000182849</v>
      </c>
    </row>
    <row r="9" spans="1:6" ht="14" x14ac:dyDescent="0.3">
      <c r="A9" s="1" t="s">
        <v>66</v>
      </c>
      <c r="B9">
        <v>3.5000000000000004</v>
      </c>
      <c r="C9" s="3" t="s">
        <v>141</v>
      </c>
      <c r="D9" s="9">
        <v>203271.78476015924</v>
      </c>
      <c r="E9">
        <f t="shared" si="0"/>
        <v>1.0794418529814174</v>
      </c>
      <c r="F9">
        <f t="shared" si="1"/>
        <v>5.577472372906354</v>
      </c>
    </row>
    <row r="10" spans="1:6" ht="14" x14ac:dyDescent="0.3">
      <c r="A10" s="1" t="s">
        <v>65</v>
      </c>
      <c r="B10">
        <v>3.5000000000000004</v>
      </c>
      <c r="C10" s="3" t="s">
        <v>140</v>
      </c>
      <c r="D10" s="8">
        <v>202528.70027469503</v>
      </c>
      <c r="E10">
        <f t="shared" si="0"/>
        <v>-0.36556204115636232</v>
      </c>
      <c r="F10">
        <f t="shared" si="1"/>
        <v>4.149369062194995</v>
      </c>
    </row>
    <row r="11" spans="1:6" ht="14" x14ac:dyDescent="0.3">
      <c r="A11" s="1" t="s">
        <v>64</v>
      </c>
      <c r="B11">
        <v>3.25</v>
      </c>
      <c r="C11" s="3" t="s">
        <v>139</v>
      </c>
      <c r="D11" s="10">
        <v>202175.56182765501</v>
      </c>
      <c r="E11">
        <f t="shared" si="0"/>
        <v>-0.17436464390530901</v>
      </c>
      <c r="F11">
        <f t="shared" si="1"/>
        <v>1.3505094905251278</v>
      </c>
    </row>
    <row r="12" spans="1:6" ht="14" x14ac:dyDescent="0.3">
      <c r="A12" s="1" t="s">
        <v>63</v>
      </c>
      <c r="B12">
        <v>3.25</v>
      </c>
      <c r="C12" s="3" t="s">
        <v>138</v>
      </c>
      <c r="D12" s="9">
        <v>209238.65437276833</v>
      </c>
      <c r="E12">
        <f t="shared" si="0"/>
        <v>3.4935441659038253</v>
      </c>
      <c r="F12">
        <f t="shared" si="1"/>
        <v>4.0465425293673425</v>
      </c>
    </row>
    <row r="13" spans="1:6" ht="14" x14ac:dyDescent="0.3">
      <c r="A13" s="1" t="s">
        <v>62</v>
      </c>
      <c r="B13">
        <v>3.25</v>
      </c>
      <c r="C13" s="3" t="s">
        <v>137</v>
      </c>
      <c r="D13" s="9">
        <v>211187.88073733184</v>
      </c>
      <c r="E13">
        <f t="shared" si="0"/>
        <v>0.93158043402959068</v>
      </c>
      <c r="F13">
        <f t="shared" si="1"/>
        <v>3.8943407647612385</v>
      </c>
    </row>
    <row r="14" spans="1:6" ht="14" x14ac:dyDescent="0.3">
      <c r="A14" s="1" t="s">
        <v>61</v>
      </c>
      <c r="B14">
        <v>3.25</v>
      </c>
      <c r="C14" s="3" t="s">
        <v>136</v>
      </c>
      <c r="D14" s="8">
        <v>213215.19372539848</v>
      </c>
      <c r="E14">
        <f t="shared" si="0"/>
        <v>0.95995706808012327</v>
      </c>
      <c r="F14">
        <f t="shared" si="1"/>
        <v>5.2765328747032267</v>
      </c>
    </row>
    <row r="15" spans="1:6" ht="14" x14ac:dyDescent="0.3">
      <c r="A15" s="1" t="s">
        <v>60</v>
      </c>
      <c r="B15">
        <v>3.25</v>
      </c>
      <c r="C15" s="3" t="s">
        <v>135</v>
      </c>
      <c r="D15" s="11">
        <v>210880.83856163677</v>
      </c>
      <c r="E15">
        <f t="shared" si="0"/>
        <v>-1.0948352802512469</v>
      </c>
      <c r="F15">
        <f t="shared" si="1"/>
        <v>4.3058006889094722</v>
      </c>
    </row>
    <row r="16" spans="1:6" ht="14" x14ac:dyDescent="0.3">
      <c r="A16" s="1" t="s">
        <v>24</v>
      </c>
      <c r="B16">
        <v>3.25</v>
      </c>
      <c r="C16" s="3" t="s">
        <v>134</v>
      </c>
      <c r="D16" s="12">
        <v>215443.89339039486</v>
      </c>
      <c r="E16">
        <f t="shared" si="0"/>
        <v>2.1638072287086381</v>
      </c>
      <c r="F16">
        <f t="shared" si="1"/>
        <v>2.9656274727190763</v>
      </c>
    </row>
    <row r="17" spans="1:6" ht="14" x14ac:dyDescent="0.3">
      <c r="A17" s="1" t="s">
        <v>59</v>
      </c>
      <c r="B17">
        <v>3.25</v>
      </c>
      <c r="C17" s="3" t="s">
        <v>133</v>
      </c>
      <c r="D17" s="12">
        <v>218509.42891969602</v>
      </c>
      <c r="E17">
        <f t="shared" si="0"/>
        <v>1.4228927453266231</v>
      </c>
      <c r="F17">
        <f t="shared" si="1"/>
        <v>3.4668410691002025</v>
      </c>
    </row>
    <row r="18" spans="1:6" ht="14" x14ac:dyDescent="0.3">
      <c r="A18" s="1" t="s">
        <v>58</v>
      </c>
      <c r="B18">
        <v>3.25</v>
      </c>
      <c r="C18" s="3" t="s">
        <v>132</v>
      </c>
      <c r="D18" s="12">
        <v>220739.44123740963</v>
      </c>
      <c r="E18">
        <f t="shared" si="0"/>
        <v>1.0205565630456888</v>
      </c>
      <c r="F18">
        <f t="shared" si="1"/>
        <v>3.5289452784972188</v>
      </c>
    </row>
    <row r="19" spans="1:6" ht="14" x14ac:dyDescent="0.3">
      <c r="A19" s="1" t="s">
        <v>57</v>
      </c>
      <c r="B19">
        <v>3.25</v>
      </c>
      <c r="C19" s="3" t="s">
        <v>131</v>
      </c>
      <c r="D19" s="11">
        <v>224565.48284684942</v>
      </c>
      <c r="E19">
        <f t="shared" si="0"/>
        <v>1.7332840873348101</v>
      </c>
      <c r="F19">
        <f t="shared" si="1"/>
        <v>6.4892782002158382</v>
      </c>
    </row>
    <row r="20" spans="1:6" ht="14" x14ac:dyDescent="0.3">
      <c r="A20" s="1" t="s">
        <v>56</v>
      </c>
      <c r="B20">
        <v>3.25</v>
      </c>
      <c r="C20" s="3" t="s">
        <v>130</v>
      </c>
      <c r="D20" s="12">
        <v>227495.06867635093</v>
      </c>
      <c r="E20">
        <f t="shared" si="0"/>
        <v>1.3045574913663127</v>
      </c>
      <c r="F20">
        <f t="shared" si="1"/>
        <v>5.5936490453775578</v>
      </c>
    </row>
    <row r="21" spans="1:6" ht="14" x14ac:dyDescent="0.3">
      <c r="A21" s="1" t="s">
        <v>55</v>
      </c>
      <c r="B21">
        <v>3.25</v>
      </c>
      <c r="C21" s="3" t="s">
        <v>129</v>
      </c>
      <c r="D21" s="12">
        <v>227782.3991567473</v>
      </c>
      <c r="E21">
        <f t="shared" si="0"/>
        <v>0.12630184999972197</v>
      </c>
      <c r="F21">
        <f t="shared" si="1"/>
        <v>4.2437391754198277</v>
      </c>
    </row>
    <row r="22" spans="1:6" ht="14" x14ac:dyDescent="0.3">
      <c r="A22" s="1" t="s">
        <v>54</v>
      </c>
      <c r="B22">
        <v>3.25</v>
      </c>
      <c r="C22" s="3" t="s">
        <v>128</v>
      </c>
      <c r="D22" s="12">
        <v>230173.4913797456</v>
      </c>
      <c r="E22">
        <f t="shared" si="0"/>
        <v>1.0497265073377682</v>
      </c>
      <c r="F22">
        <f t="shared" si="1"/>
        <v>4.2738398219416798</v>
      </c>
    </row>
    <row r="23" spans="1:6" ht="14" x14ac:dyDescent="0.3">
      <c r="A23" s="2" t="s">
        <v>53</v>
      </c>
      <c r="B23">
        <v>3</v>
      </c>
      <c r="C23" s="3" t="s">
        <v>127</v>
      </c>
      <c r="D23" s="11">
        <v>230231.83077990377</v>
      </c>
      <c r="E23">
        <f t="shared" si="0"/>
        <v>2.5345837962689948E-2</v>
      </c>
      <c r="F23">
        <f t="shared" si="1"/>
        <v>2.5232497270823764</v>
      </c>
    </row>
    <row r="24" spans="1:6" ht="14" x14ac:dyDescent="0.3">
      <c r="A24" s="1" t="s">
        <v>150</v>
      </c>
      <c r="B24">
        <v>3</v>
      </c>
      <c r="C24" s="3" t="s">
        <v>126</v>
      </c>
      <c r="D24" s="12">
        <v>233722.68963794413</v>
      </c>
      <c r="E24">
        <f t="shared" si="0"/>
        <v>1.5162364153623651</v>
      </c>
      <c r="F24">
        <f t="shared" si="1"/>
        <v>2.7374751452098574</v>
      </c>
    </row>
    <row r="25" spans="1:6" ht="14" x14ac:dyDescent="0.3">
      <c r="A25" s="1" t="s">
        <v>52</v>
      </c>
      <c r="B25">
        <v>3</v>
      </c>
      <c r="C25" s="3" t="s">
        <v>125</v>
      </c>
      <c r="D25" s="12">
        <v>235557.44469080574</v>
      </c>
      <c r="E25">
        <f t="shared" si="0"/>
        <v>0.78501366542709228</v>
      </c>
      <c r="F25">
        <f t="shared" si="1"/>
        <v>3.4133653710039673</v>
      </c>
    </row>
    <row r="26" spans="1:6" ht="14" x14ac:dyDescent="0.3">
      <c r="A26" s="1" t="s">
        <v>51</v>
      </c>
      <c r="B26">
        <v>3</v>
      </c>
      <c r="C26" s="3" t="s">
        <v>124</v>
      </c>
      <c r="D26" s="12">
        <v>237858.94094104361</v>
      </c>
      <c r="E26">
        <f t="shared" si="0"/>
        <v>0.97704245911600096</v>
      </c>
      <c r="F26">
        <f t="shared" si="1"/>
        <v>3.3389811812075161</v>
      </c>
    </row>
    <row r="27" spans="1:6" ht="14" x14ac:dyDescent="0.3">
      <c r="A27" s="1" t="s">
        <v>50</v>
      </c>
      <c r="B27">
        <v>3</v>
      </c>
      <c r="C27" s="3" t="s">
        <v>123</v>
      </c>
      <c r="D27" s="11">
        <v>239554.12773066014</v>
      </c>
      <c r="E27">
        <f t="shared" si="0"/>
        <v>0.71268575522528232</v>
      </c>
      <c r="F27">
        <f t="shared" si="1"/>
        <v>4.0490912656070854</v>
      </c>
    </row>
    <row r="28" spans="1:6" ht="14" x14ac:dyDescent="0.3">
      <c r="A28" s="1" t="s">
        <v>49</v>
      </c>
      <c r="B28">
        <v>3</v>
      </c>
      <c r="C28" s="3" t="s">
        <v>122</v>
      </c>
      <c r="D28" s="12">
        <v>243707.25787281175</v>
      </c>
      <c r="E28">
        <f t="shared" si="0"/>
        <v>1.7336917470364501</v>
      </c>
      <c r="F28">
        <f t="shared" si="1"/>
        <v>4.2719721608263814</v>
      </c>
    </row>
    <row r="29" spans="1:6" ht="14" x14ac:dyDescent="0.3">
      <c r="A29" s="1" t="s">
        <v>48</v>
      </c>
      <c r="B29">
        <v>3</v>
      </c>
      <c r="C29" s="3" t="s">
        <v>121</v>
      </c>
      <c r="D29" s="12">
        <v>245925.39322677223</v>
      </c>
      <c r="E29">
        <f t="shared" si="0"/>
        <v>0.91016384711779752</v>
      </c>
      <c r="F29">
        <f t="shared" si="1"/>
        <v>4.401452286755581</v>
      </c>
    </row>
    <row r="30" spans="1:6" ht="14" x14ac:dyDescent="0.3">
      <c r="A30" s="1" t="s">
        <v>47</v>
      </c>
      <c r="B30">
        <v>3</v>
      </c>
      <c r="C30" s="3" t="s">
        <v>120</v>
      </c>
      <c r="D30" s="12">
        <v>246837.12407688741</v>
      </c>
      <c r="E30">
        <f t="shared" si="0"/>
        <v>0.37073473306372318</v>
      </c>
      <c r="F30">
        <f t="shared" si="1"/>
        <v>3.7745829945779352</v>
      </c>
    </row>
    <row r="31" spans="1:6" ht="14" x14ac:dyDescent="0.3">
      <c r="A31" s="1" t="s">
        <v>46</v>
      </c>
      <c r="B31">
        <v>3</v>
      </c>
      <c r="C31" s="3" t="s">
        <v>119</v>
      </c>
      <c r="D31" s="11">
        <v>247391.93532975382</v>
      </c>
      <c r="E31">
        <f t="shared" si="0"/>
        <v>0.22476815630601321</v>
      </c>
      <c r="F31">
        <f t="shared" si="1"/>
        <v>3.2718315786676921</v>
      </c>
    </row>
    <row r="32" spans="1:6" ht="14" x14ac:dyDescent="0.3">
      <c r="A32" s="1" t="s">
        <v>45</v>
      </c>
      <c r="B32">
        <v>3</v>
      </c>
      <c r="C32" s="3" t="s">
        <v>118</v>
      </c>
      <c r="D32" s="12">
        <v>251718.20463095454</v>
      </c>
      <c r="E32">
        <f t="shared" si="0"/>
        <v>1.748751144791421</v>
      </c>
      <c r="F32">
        <f t="shared" si="1"/>
        <v>3.2871186636237226</v>
      </c>
    </row>
    <row r="33" spans="1:6" ht="14" x14ac:dyDescent="0.3">
      <c r="A33" s="1" t="s">
        <v>44</v>
      </c>
      <c r="B33">
        <v>2.75</v>
      </c>
      <c r="C33" s="3" t="s">
        <v>117</v>
      </c>
      <c r="D33" s="12">
        <v>252005.57590203636</v>
      </c>
      <c r="E33">
        <f t="shared" si="0"/>
        <v>0.11416388079802904</v>
      </c>
      <c r="F33">
        <f t="shared" si="1"/>
        <v>2.4723687926189424</v>
      </c>
    </row>
    <row r="34" spans="1:6" ht="14" x14ac:dyDescent="0.3">
      <c r="A34" s="1" t="s">
        <v>43</v>
      </c>
      <c r="B34">
        <v>2.5</v>
      </c>
      <c r="C34" s="3" t="s">
        <v>116</v>
      </c>
      <c r="D34" s="12">
        <v>250338.28353301316</v>
      </c>
      <c r="E34">
        <f t="shared" si="0"/>
        <v>-0.66160931679993251</v>
      </c>
      <c r="F34">
        <f t="shared" si="1"/>
        <v>1.4184087864494701</v>
      </c>
    </row>
    <row r="35" spans="1:6" ht="14" x14ac:dyDescent="0.3">
      <c r="A35" s="1" t="s">
        <v>42</v>
      </c>
      <c r="B35">
        <v>2.5</v>
      </c>
      <c r="C35" s="3" t="s">
        <v>115</v>
      </c>
      <c r="D35" s="11">
        <v>257136.769371587</v>
      </c>
      <c r="E35">
        <f t="shared" si="0"/>
        <v>2.715719602542249</v>
      </c>
      <c r="F35">
        <f t="shared" si="1"/>
        <v>3.9390265607664574</v>
      </c>
    </row>
    <row r="36" spans="1:6" ht="14" x14ac:dyDescent="0.3">
      <c r="A36" s="1" t="s">
        <v>41</v>
      </c>
      <c r="B36">
        <v>2.5</v>
      </c>
      <c r="C36" s="3" t="s">
        <v>114</v>
      </c>
      <c r="D36" s="12">
        <v>260836.86778148115</v>
      </c>
      <c r="E36">
        <f t="shared" si="0"/>
        <v>1.4389612263297757</v>
      </c>
      <c r="F36">
        <f t="shared" si="1"/>
        <v>3.6225680077035092</v>
      </c>
    </row>
    <row r="37" spans="1:6" ht="14" x14ac:dyDescent="0.3">
      <c r="A37" s="1" t="s">
        <v>40</v>
      </c>
      <c r="B37">
        <v>2.5</v>
      </c>
      <c r="C37" s="3" t="s">
        <v>113</v>
      </c>
      <c r="D37" s="12">
        <v>262459.43896279839</v>
      </c>
      <c r="E37">
        <f t="shared" si="0"/>
        <v>0.62206358906156034</v>
      </c>
      <c r="F37">
        <f t="shared" si="1"/>
        <v>4.1482665704293078</v>
      </c>
    </row>
    <row r="38" spans="1:6" ht="14" x14ac:dyDescent="0.3">
      <c r="A38" s="1" t="s">
        <v>39</v>
      </c>
      <c r="B38">
        <v>2.5</v>
      </c>
      <c r="C38" s="3" t="s">
        <v>112</v>
      </c>
      <c r="D38" s="7">
        <v>264529.92277977575</v>
      </c>
      <c r="E38">
        <f t="shared" si="0"/>
        <v>0.78887763578235526</v>
      </c>
      <c r="F38">
        <f t="shared" si="1"/>
        <v>5.6689848018755287</v>
      </c>
    </row>
    <row r="39" spans="1:6" ht="14" x14ac:dyDescent="0.3">
      <c r="A39" s="1" t="s">
        <v>38</v>
      </c>
      <c r="B39">
        <v>2.25</v>
      </c>
      <c r="C39" s="3" t="s">
        <v>111</v>
      </c>
      <c r="D39" s="10">
        <v>259091.33952704549</v>
      </c>
      <c r="E39">
        <f t="shared" si="0"/>
        <v>-2.0559425548458425</v>
      </c>
      <c r="F39">
        <f t="shared" si="1"/>
        <v>0.7601286118026771</v>
      </c>
    </row>
    <row r="40" spans="1:6" ht="14" x14ac:dyDescent="0.3">
      <c r="A40" s="1" t="s">
        <v>37</v>
      </c>
      <c r="B40">
        <v>2.25</v>
      </c>
      <c r="C40" s="3" t="s">
        <v>110</v>
      </c>
      <c r="D40" s="9">
        <v>259633.73831850127</v>
      </c>
      <c r="E40">
        <f t="shared" si="0"/>
        <v>0.2093465541711638</v>
      </c>
      <c r="F40">
        <f t="shared" si="1"/>
        <v>-0.46125744156221576</v>
      </c>
    </row>
    <row r="41" spans="1:6" ht="14" x14ac:dyDescent="0.3">
      <c r="A41" s="1" t="s">
        <v>36</v>
      </c>
      <c r="B41">
        <v>2.25</v>
      </c>
      <c r="C41" s="3" t="s">
        <v>109</v>
      </c>
      <c r="D41" s="9">
        <v>264822.34038425161</v>
      </c>
      <c r="E41">
        <f t="shared" si="0"/>
        <v>1.9984313669532849</v>
      </c>
      <c r="F41">
        <f t="shared" si="1"/>
        <v>0.90029203399621094</v>
      </c>
    </row>
    <row r="42" spans="1:6" ht="14" x14ac:dyDescent="0.3">
      <c r="A42" s="1" t="s">
        <v>35</v>
      </c>
      <c r="B42">
        <v>2.25</v>
      </c>
      <c r="C42" s="3" t="s">
        <v>108</v>
      </c>
      <c r="D42" s="8">
        <v>266861.77326740621</v>
      </c>
      <c r="E42">
        <f t="shared" si="0"/>
        <v>0.77011360906916959</v>
      </c>
      <c r="F42">
        <f t="shared" si="1"/>
        <v>0.88150726508613464</v>
      </c>
    </row>
    <row r="43" spans="1:6" ht="14" x14ac:dyDescent="0.3">
      <c r="A43" s="1" t="s">
        <v>34</v>
      </c>
      <c r="B43">
        <v>2.25</v>
      </c>
      <c r="C43" s="3" t="s">
        <v>107</v>
      </c>
      <c r="D43" s="11">
        <v>272236.27933108946</v>
      </c>
      <c r="E43">
        <f t="shared" si="0"/>
        <v>2.0139662559679459</v>
      </c>
      <c r="F43">
        <f t="shared" si="1"/>
        <v>5.0734771096707476</v>
      </c>
    </row>
    <row r="44" spans="1:6" ht="14" x14ac:dyDescent="0.3">
      <c r="A44" s="1" t="s">
        <v>33</v>
      </c>
      <c r="B44">
        <v>2.25</v>
      </c>
      <c r="C44" s="3" t="s">
        <v>106</v>
      </c>
      <c r="D44" s="12">
        <v>276159.53780244687</v>
      </c>
      <c r="E44">
        <f t="shared" si="0"/>
        <v>1.4411225722733296</v>
      </c>
      <c r="F44">
        <f t="shared" si="1"/>
        <v>6.3650431530870035</v>
      </c>
    </row>
    <row r="45" spans="1:6" ht="14" x14ac:dyDescent="0.3">
      <c r="A45" s="1" t="s">
        <v>32</v>
      </c>
      <c r="B45">
        <v>2.25</v>
      </c>
      <c r="C45" s="3" t="s">
        <v>105</v>
      </c>
      <c r="D45" s="12">
        <v>276690.90520129527</v>
      </c>
      <c r="E45">
        <f t="shared" si="0"/>
        <v>0.19241319821027736</v>
      </c>
      <c r="F45">
        <f t="shared" si="1"/>
        <v>4.4817083029409925</v>
      </c>
    </row>
    <row r="46" spans="1:6" ht="14" x14ac:dyDescent="0.3">
      <c r="A46" s="1" t="s">
        <v>31</v>
      </c>
      <c r="B46">
        <v>2.25</v>
      </c>
      <c r="C46" s="3" t="s">
        <v>104</v>
      </c>
      <c r="D46" s="12">
        <v>278451.09970669082</v>
      </c>
      <c r="E46">
        <f t="shared" si="0"/>
        <v>0.63615914809884488</v>
      </c>
      <c r="F46">
        <f t="shared" si="1"/>
        <v>4.3428199915585637</v>
      </c>
    </row>
    <row r="47" spans="1:6" ht="14" x14ac:dyDescent="0.3">
      <c r="A47" s="1" t="s">
        <v>30</v>
      </c>
      <c r="B47">
        <v>2.25</v>
      </c>
      <c r="C47" s="3" t="s">
        <v>103</v>
      </c>
      <c r="D47" s="11">
        <v>281092.834532557</v>
      </c>
      <c r="E47">
        <f t="shared" si="0"/>
        <v>0.94872486718453541</v>
      </c>
      <c r="F47">
        <f t="shared" si="1"/>
        <v>3.2532604483241307</v>
      </c>
    </row>
    <row r="48" spans="1:6" ht="14" x14ac:dyDescent="0.3">
      <c r="A48" s="1" t="s">
        <v>29</v>
      </c>
      <c r="B48">
        <v>2.25</v>
      </c>
      <c r="C48" s="3" t="s">
        <v>102</v>
      </c>
      <c r="D48" s="12">
        <v>284285.44339812244</v>
      </c>
      <c r="E48">
        <f t="shared" si="0"/>
        <v>1.1357845072339148</v>
      </c>
      <c r="F48">
        <f t="shared" si="1"/>
        <v>2.9424678431669862</v>
      </c>
    </row>
    <row r="49" spans="1:6" ht="14" x14ac:dyDescent="0.3">
      <c r="A49" s="1" t="s">
        <v>28</v>
      </c>
      <c r="B49">
        <v>2.25</v>
      </c>
      <c r="C49" s="3" t="s">
        <v>101</v>
      </c>
      <c r="D49" s="12">
        <v>285140.66689991532</v>
      </c>
      <c r="E49">
        <f t="shared" si="0"/>
        <v>0.30083267422004217</v>
      </c>
      <c r="F49">
        <f t="shared" si="1"/>
        <v>3.0538631880483247</v>
      </c>
    </row>
    <row r="50" spans="1:6" ht="14" x14ac:dyDescent="0.3">
      <c r="A50" s="1" t="s">
        <v>27</v>
      </c>
      <c r="B50">
        <v>2.25</v>
      </c>
      <c r="C50" s="3" t="s">
        <v>100</v>
      </c>
      <c r="D50" s="12">
        <v>286849.38840105193</v>
      </c>
      <c r="E50">
        <f t="shared" si="0"/>
        <v>0.59925563046268993</v>
      </c>
      <c r="F50">
        <f t="shared" si="1"/>
        <v>3.0160730926211201</v>
      </c>
    </row>
    <row r="51" spans="1:6" ht="14" x14ac:dyDescent="0.3">
      <c r="A51" s="1" t="s">
        <v>25</v>
      </c>
      <c r="B51">
        <v>2.25</v>
      </c>
      <c r="C51" s="3" t="s">
        <v>99</v>
      </c>
      <c r="D51" s="11">
        <v>288866.50264962798</v>
      </c>
      <c r="E51">
        <f t="shared" si="0"/>
        <v>0.70319628702009562</v>
      </c>
      <c r="F51">
        <f t="shared" si="1"/>
        <v>2.7655162857488667</v>
      </c>
    </row>
    <row r="52" spans="1:6" ht="14" x14ac:dyDescent="0.3">
      <c r="A52" s="1" t="s">
        <v>26</v>
      </c>
      <c r="B52">
        <v>2.25</v>
      </c>
      <c r="C52" s="3" t="s">
        <v>98</v>
      </c>
      <c r="D52" s="12">
        <v>295765.91711968684</v>
      </c>
      <c r="E52">
        <f t="shared" si="0"/>
        <v>2.3884439375192299</v>
      </c>
      <c r="F52">
        <f t="shared" si="1"/>
        <v>4.0383614385372431</v>
      </c>
    </row>
    <row r="53" spans="1:6" ht="14" x14ac:dyDescent="0.3">
      <c r="A53" s="1" t="s">
        <v>23</v>
      </c>
      <c r="B53">
        <v>2.25</v>
      </c>
      <c r="C53" s="3" t="s">
        <v>97</v>
      </c>
      <c r="D53" s="12">
        <v>293318.82998084603</v>
      </c>
      <c r="E53">
        <f t="shared" si="0"/>
        <v>-0.82737293149655089</v>
      </c>
      <c r="F53">
        <f t="shared" si="1"/>
        <v>2.8681152954591544</v>
      </c>
    </row>
    <row r="54" spans="1:6" ht="14" x14ac:dyDescent="0.3">
      <c r="A54" s="2" t="s">
        <v>22</v>
      </c>
      <c r="B54">
        <v>2.25</v>
      </c>
      <c r="C54" s="3" t="s">
        <v>96</v>
      </c>
      <c r="D54" s="12">
        <v>292298.1139171804</v>
      </c>
      <c r="E54">
        <f t="shared" si="0"/>
        <v>-0.34798859102645652</v>
      </c>
      <c r="F54">
        <f t="shared" si="1"/>
        <v>1.8995074545916268</v>
      </c>
    </row>
    <row r="55" spans="1:6" ht="14" x14ac:dyDescent="0.3">
      <c r="A55" s="1" t="s">
        <v>21</v>
      </c>
      <c r="B55">
        <v>2.25</v>
      </c>
      <c r="C55" s="3" t="s">
        <v>95</v>
      </c>
      <c r="D55" s="11">
        <v>285344.44696171326</v>
      </c>
      <c r="E55">
        <f t="shared" si="0"/>
        <v>-2.3789640180290004</v>
      </c>
      <c r="F55">
        <f t="shared" si="1"/>
        <v>-1.2192676047962168</v>
      </c>
    </row>
    <row r="56" spans="1:6" ht="14" x14ac:dyDescent="0.3">
      <c r="A56" s="1" t="s">
        <v>20</v>
      </c>
      <c r="B56">
        <v>2</v>
      </c>
      <c r="C56" s="3" t="s">
        <v>94</v>
      </c>
      <c r="D56" s="12">
        <v>253967.29080029772</v>
      </c>
      <c r="E56">
        <f t="shared" si="0"/>
        <v>-10.996238579552815</v>
      </c>
      <c r="F56">
        <f t="shared" si="1"/>
        <v>-14.132333680109117</v>
      </c>
    </row>
    <row r="57" spans="1:6" ht="14" x14ac:dyDescent="0.3">
      <c r="A57" s="1" t="s">
        <v>19</v>
      </c>
      <c r="B57">
        <v>1.5</v>
      </c>
      <c r="C57" s="3" t="s">
        <v>93</v>
      </c>
      <c r="D57" s="12">
        <v>271169.62871166196</v>
      </c>
      <c r="E57">
        <f t="shared" si="0"/>
        <v>6.7734462407172629</v>
      </c>
      <c r="F57">
        <f t="shared" si="1"/>
        <v>-7.551237426738143</v>
      </c>
    </row>
    <row r="58" spans="1:6" ht="14" x14ac:dyDescent="0.3">
      <c r="A58" s="1" t="s">
        <v>18</v>
      </c>
      <c r="B58">
        <v>1.5</v>
      </c>
      <c r="C58" s="3" t="s">
        <v>92</v>
      </c>
      <c r="D58" s="12">
        <v>275765.07562286448</v>
      </c>
      <c r="E58">
        <f t="shared" si="0"/>
        <v>1.6946761084696937</v>
      </c>
      <c r="F58">
        <f t="shared" si="1"/>
        <v>-5.6562247606566443</v>
      </c>
    </row>
    <row r="59" spans="1:6" ht="14" x14ac:dyDescent="0.3">
      <c r="A59" s="1" t="s">
        <v>17</v>
      </c>
      <c r="B59">
        <v>1.5</v>
      </c>
      <c r="C59" s="3" t="s">
        <v>91</v>
      </c>
      <c r="D59" s="11">
        <v>290532.02403577865</v>
      </c>
      <c r="E59">
        <f t="shared" si="0"/>
        <v>5.3549015877229555</v>
      </c>
      <c r="F59">
        <f t="shared" si="1"/>
        <v>1.8180052667229414</v>
      </c>
    </row>
    <row r="60" spans="1:6" ht="14" x14ac:dyDescent="0.3">
      <c r="A60" s="1" t="s">
        <v>16</v>
      </c>
      <c r="B60">
        <v>1.5</v>
      </c>
      <c r="C60" s="3" t="s">
        <v>90</v>
      </c>
      <c r="D60" s="12">
        <v>290728.145901146</v>
      </c>
      <c r="E60">
        <f t="shared" si="0"/>
        <v>6.7504388205821358E-2</v>
      </c>
      <c r="F60">
        <f t="shared" si="1"/>
        <v>14.474641590658408</v>
      </c>
    </row>
    <row r="61" spans="1:6" ht="14" x14ac:dyDescent="0.3">
      <c r="A61" s="1" t="s">
        <v>15</v>
      </c>
      <c r="B61">
        <v>1.5</v>
      </c>
      <c r="C61" s="3" t="s">
        <v>89</v>
      </c>
      <c r="D61" s="12">
        <v>295351.3599367658</v>
      </c>
      <c r="E61">
        <f t="shared" si="0"/>
        <v>1.5902189384827576</v>
      </c>
      <c r="F61">
        <f t="shared" si="1"/>
        <v>8.9175662259790069</v>
      </c>
    </row>
    <row r="62" spans="1:6" ht="14" x14ac:dyDescent="0.3">
      <c r="A62" s="1" t="s">
        <v>14</v>
      </c>
      <c r="B62">
        <v>1.5</v>
      </c>
      <c r="C62" s="3" t="s">
        <v>88</v>
      </c>
      <c r="D62" s="12">
        <v>298215.9499772432</v>
      </c>
      <c r="E62">
        <f t="shared" si="0"/>
        <v>0.96989228053349863</v>
      </c>
      <c r="F62">
        <f t="shared" si="1"/>
        <v>8.1413044431639623</v>
      </c>
    </row>
    <row r="63" spans="1:6" ht="14" x14ac:dyDescent="0.3">
      <c r="A63" s="1" t="s">
        <v>13</v>
      </c>
      <c r="B63">
        <v>1.5</v>
      </c>
      <c r="C63" s="3" t="s">
        <v>87</v>
      </c>
      <c r="D63" s="11">
        <v>293747.58820280671</v>
      </c>
      <c r="E63">
        <f t="shared" si="0"/>
        <v>-1.498364448574085</v>
      </c>
      <c r="F63">
        <f t="shared" si="1"/>
        <v>1.1067847607161088</v>
      </c>
    </row>
    <row r="64" spans="1:6" ht="14" x14ac:dyDescent="0.3">
      <c r="A64" s="1" t="s">
        <v>12</v>
      </c>
      <c r="B64">
        <v>1.5</v>
      </c>
      <c r="C64" s="3" t="s">
        <v>86</v>
      </c>
      <c r="D64" s="12">
        <v>299339.90408855013</v>
      </c>
      <c r="E64">
        <f t="shared" si="0"/>
        <v>1.9037827408075323</v>
      </c>
      <c r="F64">
        <f t="shared" si="1"/>
        <v>2.9621343199197243</v>
      </c>
    </row>
    <row r="65" spans="1:6" ht="14" x14ac:dyDescent="0.3">
      <c r="A65" s="1" t="s">
        <v>11</v>
      </c>
      <c r="B65">
        <v>2</v>
      </c>
      <c r="C65" s="3" t="s">
        <v>85</v>
      </c>
      <c r="D65" s="12">
        <v>301394.40999146021</v>
      </c>
      <c r="E65">
        <f t="shared" si="0"/>
        <v>0.6863454804549951</v>
      </c>
      <c r="F65">
        <f t="shared" si="1"/>
        <v>2.0460545893501951</v>
      </c>
    </row>
    <row r="66" spans="1:6" ht="14" x14ac:dyDescent="0.3">
      <c r="A66" s="1" t="s">
        <v>10</v>
      </c>
      <c r="B66">
        <v>2.5</v>
      </c>
      <c r="C66" s="3" t="s">
        <v>84</v>
      </c>
      <c r="D66" s="7">
        <v>301641.43981191068</v>
      </c>
      <c r="E66">
        <f t="shared" si="0"/>
        <v>8.1962309937156627E-2</v>
      </c>
      <c r="F66">
        <f t="shared" si="1"/>
        <v>1.1486608395455953</v>
      </c>
    </row>
    <row r="67" spans="1:6" ht="14" x14ac:dyDescent="0.3">
      <c r="A67" s="1" t="s">
        <v>9</v>
      </c>
      <c r="B67">
        <v>3</v>
      </c>
      <c r="C67" s="3" t="s">
        <v>83</v>
      </c>
      <c r="D67" s="11">
        <v>304934.3244796074</v>
      </c>
      <c r="E67">
        <f t="shared" si="0"/>
        <v>1.0916552678405225</v>
      </c>
      <c r="F67">
        <f t="shared" si="1"/>
        <v>3.8082819148381346</v>
      </c>
    </row>
    <row r="68" spans="1:6" ht="14" x14ac:dyDescent="0.3">
      <c r="A68" s="1" t="s">
        <v>8</v>
      </c>
      <c r="B68">
        <v>3</v>
      </c>
      <c r="C68" s="3" t="s">
        <v>82</v>
      </c>
      <c r="D68" s="12">
        <v>307064.94661058934</v>
      </c>
      <c r="E68">
        <f t="shared" ref="E68:E76" si="2">(D68-D67)/D67*100</f>
        <v>0.69871508713163044</v>
      </c>
      <c r="F68">
        <f t="shared" si="1"/>
        <v>2.5806925226227104</v>
      </c>
    </row>
    <row r="69" spans="1:6" ht="14" x14ac:dyDescent="0.3">
      <c r="A69" s="1" t="s">
        <v>7</v>
      </c>
      <c r="B69">
        <v>3</v>
      </c>
      <c r="C69" s="3" t="s">
        <v>81</v>
      </c>
      <c r="D69" s="12">
        <v>310899.51502164017</v>
      </c>
      <c r="E69">
        <f t="shared" si="2"/>
        <v>1.2487809023391119</v>
      </c>
      <c r="F69">
        <f t="shared" si="1"/>
        <v>3.1537097952311974</v>
      </c>
    </row>
    <row r="70" spans="1:6" ht="14" x14ac:dyDescent="0.3">
      <c r="A70" s="1" t="s">
        <v>6</v>
      </c>
      <c r="B70">
        <v>3</v>
      </c>
      <c r="C70" s="3" t="s">
        <v>80</v>
      </c>
      <c r="D70" s="7">
        <v>316950.17232517491</v>
      </c>
      <c r="E70">
        <f t="shared" si="2"/>
        <v>1.9461777877374891</v>
      </c>
      <c r="F70">
        <f t="shared" si="1"/>
        <v>5.0751423686380859</v>
      </c>
    </row>
    <row r="71" spans="1:6" ht="14" x14ac:dyDescent="0.3">
      <c r="A71" s="1" t="s">
        <v>5</v>
      </c>
      <c r="B71">
        <v>3</v>
      </c>
      <c r="C71" s="3" t="s">
        <v>79</v>
      </c>
      <c r="D71" s="11">
        <v>314071.37732380367</v>
      </c>
      <c r="E71">
        <f t="shared" si="2"/>
        <v>-0.90827999248340552</v>
      </c>
      <c r="F71">
        <f t="shared" ref="F71:F76" si="3">((D71 - D67) / D67) * 100</f>
        <v>2.9964002444753675</v>
      </c>
    </row>
    <row r="72" spans="1:6" ht="14" x14ac:dyDescent="0.3">
      <c r="A72" s="1" t="s">
        <v>4</v>
      </c>
      <c r="B72">
        <v>2.75</v>
      </c>
      <c r="C72" s="3" t="s">
        <v>78</v>
      </c>
      <c r="D72" s="12">
        <v>316275.18224324583</v>
      </c>
      <c r="E72">
        <f t="shared" si="2"/>
        <v>0.70168919505519489</v>
      </c>
      <c r="F72">
        <f t="shared" si="3"/>
        <v>2.9994422138768706</v>
      </c>
    </row>
    <row r="73" spans="1:6" ht="14" x14ac:dyDescent="0.3">
      <c r="A73" s="1" t="s">
        <v>3</v>
      </c>
      <c r="B73">
        <v>2.75</v>
      </c>
      <c r="C73" s="3" t="s">
        <v>77</v>
      </c>
      <c r="D73" s="12">
        <v>326353.94191124442</v>
      </c>
      <c r="E73">
        <f t="shared" si="2"/>
        <v>3.1867058289281318</v>
      </c>
      <c r="F73">
        <f t="shared" si="3"/>
        <v>4.9708752001522232</v>
      </c>
    </row>
    <row r="74" spans="1:6" ht="14" x14ac:dyDescent="0.3">
      <c r="A74" s="1" t="s">
        <v>2</v>
      </c>
      <c r="B74">
        <v>2.5</v>
      </c>
      <c r="C74" s="3" t="s">
        <v>76</v>
      </c>
      <c r="D74" s="7">
        <v>330180.61111146631</v>
      </c>
      <c r="E74">
        <f t="shared" si="2"/>
        <v>1.1725518551458456</v>
      </c>
      <c r="F74">
        <f t="shared" si="3"/>
        <v>4.1742961328058961</v>
      </c>
    </row>
    <row r="75" spans="1:6" ht="14" x14ac:dyDescent="0.3">
      <c r="A75" s="1" t="s">
        <v>1</v>
      </c>
      <c r="B75">
        <v>2.25</v>
      </c>
      <c r="C75" s="3" t="s">
        <v>75</v>
      </c>
      <c r="D75" s="11">
        <v>329014.78007817891</v>
      </c>
      <c r="E75">
        <f t="shared" si="2"/>
        <v>-0.35308888349407658</v>
      </c>
      <c r="F75">
        <f t="shared" si="3"/>
        <v>4.7579639003425589</v>
      </c>
    </row>
    <row r="76" spans="1:6" ht="14.5" thickBot="1" x14ac:dyDescent="0.35">
      <c r="A76" s="1" t="s">
        <v>0</v>
      </c>
      <c r="B76">
        <v>2.25</v>
      </c>
      <c r="C76" s="5" t="s">
        <v>74</v>
      </c>
      <c r="D76" s="13">
        <v>333814.81746590103</v>
      </c>
      <c r="E76">
        <f t="shared" si="2"/>
        <v>1.458912388854249</v>
      </c>
      <c r="F76">
        <f t="shared" si="3"/>
        <v>5.5456881245792919</v>
      </c>
    </row>
  </sheetData>
  <sortState xmlns:xlrd2="http://schemas.microsoft.com/office/spreadsheetml/2017/richdata2" ref="A2:C277">
    <sortCondition ref="A2:A2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saad barhdadi</cp:lastModifiedBy>
  <dcterms:created xsi:type="dcterms:W3CDTF">2026-07-10T23:03:02Z</dcterms:created>
  <dcterms:modified xsi:type="dcterms:W3CDTF">2026-07-15T12:02:36Z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2026-07-11T00:00:00Z</vt:filetime>
  </property>
  <property fmtid="{D5CDD505-2E9C-101B-9397-08002B2CF9AE}" pid="4" name="Creator">
    <vt:lpwstr>Mozilla Firefox 152.0.4</vt:lpwstr>
  </property>
  <property fmtid="{D5CDD505-2E9C-101B-9397-08002B2CF9AE}" pid="5" name="Producer">
    <vt:lpwstr>cairo 1.18.4 (https://cairographics.org)</vt:lpwstr>
  </property>
  <property fmtid="{D5CDD505-2E9C-101B-9397-08002B2CF9AE}" pid="6" name="LastSaved">
    <vt:filetime>2026-07-11T00:00:00Z</vt:filetime>
  </property>
</Properties>
</file>